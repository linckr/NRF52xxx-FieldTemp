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BOM_Board1_Schematic1_2026-02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<sst xmlns="http://schemas.openxmlformats.org/spreadsheetml/2006/main" count="170" uniqueCount="123">
  <si>
    <t>No.</t>
  </si>
  <si>
    <t>备注</t>
  </si>
  <si>
    <t>Designator</t>
  </si>
  <si>
    <t>封装</t>
  </si>
  <si>
    <t>值</t>
  </si>
  <si>
    <t>数量</t>
  </si>
  <si>
    <t>LCSC Price</t>
  </si>
  <si>
    <t>淘宝购买价</t>
  </si>
  <si>
    <t>Description</t>
  </si>
  <si>
    <t>1</t>
  </si>
  <si>
    <t>MY-2032-12</t>
  </si>
  <si>
    <t>BT1</t>
  </si>
  <si>
    <t>BAT-SMD_MY-2032-12</t>
  </si>
  <si>
    <t/>
  </si>
  <si>
    <t>0.6072</t>
  </si>
  <si>
    <t>适用电池规格：CR2032/BR2032/LIR2032卧式贴片工艺，材质:磷铜 镀镍  SMT回流焊工艺标准</t>
  </si>
  <si>
    <t>2</t>
  </si>
  <si>
    <t>1uF</t>
  </si>
  <si>
    <t>C1</t>
  </si>
  <si>
    <t>C0603</t>
  </si>
  <si>
    <t>0.0308</t>
  </si>
  <si>
    <t>容值:1uF;精度:±10%;额定电压:50V;温度系数:X5R;</t>
  </si>
  <si>
    <t>3</t>
  </si>
  <si>
    <t>12pF</t>
  </si>
  <si>
    <t>C2,C3</t>
  </si>
  <si>
    <t>C0402</t>
  </si>
  <si>
    <t>0.0054</t>
  </si>
  <si>
    <t>容值:12pF;精度:±5%;额定电压:50V;温度系数:C0G;</t>
  </si>
  <si>
    <t>4</t>
  </si>
  <si>
    <t>22pF</t>
  </si>
  <si>
    <t>C4,C5</t>
  </si>
  <si>
    <t>0.0076</t>
  </si>
  <si>
    <t>容值:22pF;精度:±5%;额定电压:50V;温度系数:C0G;</t>
  </si>
  <si>
    <t>5</t>
  </si>
  <si>
    <t>100nF</t>
  </si>
  <si>
    <t>C6,C7,C8,C10,C11,C12,C13,NCC1,NCC2</t>
  </si>
  <si>
    <t>9</t>
  </si>
  <si>
    <t>0.0081</t>
  </si>
  <si>
    <t>容值:100nF;精度:±10%;额定电压:16V;温度系数:X7R;</t>
  </si>
  <si>
    <t>6</t>
  </si>
  <si>
    <t>10uF</t>
  </si>
  <si>
    <t>C9</t>
  </si>
  <si>
    <t>0.0425</t>
  </si>
  <si>
    <t>容值:10uF;精度:±10%;额定电压:10V;温度系数:X5R;</t>
  </si>
  <si>
    <t>7</t>
  </si>
  <si>
    <t>2.54-1*4P母</t>
  </si>
  <si>
    <t>H1</t>
  </si>
  <si>
    <t>HDR-TH_4P-P2.54-V-F</t>
  </si>
  <si>
    <t>0.3701</t>
  </si>
  <si>
    <t>插孔结构:1x4P;间距:2.54mm;行距:-;圆孔/方孔:方孔;安装方式:直插;排数:单排;总孔位数:4P;额定电流:3A;额定电压:-;插孔方向:顶部;塑高:-;触头材质:青铜;触头镀层:-;工作温度:-40℃~+105℃;</t>
  </si>
  <si>
    <t>8</t>
  </si>
  <si>
    <t>10uH</t>
  </si>
  <si>
    <t>L1</t>
  </si>
  <si>
    <t>L0603</t>
  </si>
  <si>
    <t>0.2916</t>
  </si>
  <si>
    <t>电感值:10uH;精度:±20%;额定电流:50mA;饱和电流(Isat):50mA;直流电阻(DCR):1.17Ω;</t>
  </si>
  <si>
    <t>15nH</t>
  </si>
  <si>
    <t>L2</t>
  </si>
  <si>
    <t>L0402</t>
  </si>
  <si>
    <t>0.0305</t>
  </si>
  <si>
    <t>电感值:15nH;精度:±5%;额定电流:300mA;饱和电流(Isat):-;直流电阻(DCR):500mΩ;</t>
  </si>
  <si>
    <t>10</t>
  </si>
  <si>
    <t>RFECA3216060A1T</t>
  </si>
  <si>
    <t>L3</t>
  </si>
  <si>
    <t>ANT-SMD_L3.1-W1.6</t>
  </si>
  <si>
    <t>0.2126</t>
  </si>
  <si>
    <t>天线类型:陶瓷天线;中心频点:2.4GHz;带宽:-;峰值增益:2dBi;极化方式:-;功率容量:-;驻波比:2.1;</t>
  </si>
  <si>
    <t>11</t>
  </si>
  <si>
    <t>3.9nH</t>
  </si>
  <si>
    <t>L4</t>
  </si>
  <si>
    <t>0.0529</t>
  </si>
  <si>
    <t>电感值:3.9nH;精度:-;额定电流:700mA;饱和电流(Isat):-;直流电阻(DCR):110mΩ;</t>
  </si>
  <si>
    <t>12</t>
  </si>
  <si>
    <t>4.7kΩ</t>
  </si>
  <si>
    <t>R1,R2</t>
  </si>
  <si>
    <t>R0603</t>
  </si>
  <si>
    <t>0.0077</t>
  </si>
  <si>
    <t>电阻类型:厚膜电阻;阻值:4.7kΩ;精度:±1%;功率:100mW;工作电压:75V;温度系数:±100ppm/℃;</t>
  </si>
  <si>
    <t>13</t>
  </si>
  <si>
    <t>1kΩ</t>
  </si>
  <si>
    <t>R3</t>
  </si>
  <si>
    <t>0.0072</t>
  </si>
  <si>
    <t>电阻类型:厚膜电阻;阻值:1kΩ;精度:±1%;功率:100mW;工作电压:75V;温度系数:±100ppm/℃;</t>
  </si>
  <si>
    <t>14</t>
  </si>
  <si>
    <t>NRF52832-QFAA-R</t>
  </si>
  <si>
    <t>U1</t>
  </si>
  <si>
    <t>QFN-48_L6.0-W6.0-P0.40-BL-EP3.8</t>
  </si>
  <si>
    <t>18.28</t>
  </si>
  <si>
    <t>频率范围:-;接口类型:I2C；UART；SPI;应用领域:IoT；蓝牙;数据速率:2Mbps;灵敏度:-96dBm;典型应用频率:2.4GHz;</t>
  </si>
  <si>
    <t>15</t>
  </si>
  <si>
    <t>AHT30</t>
  </si>
  <si>
    <t>U2</t>
  </si>
  <si>
    <t>MIC-SMD_6P-L3.0-W3.0-P1.00-TL</t>
  </si>
  <si>
    <t>4.12</t>
  </si>
  <si>
    <t>AHT30是一款全新的温湿度传感器，具有功耗低、精度高的优点，它嵌入了适于回流焊的双列扁平无引脚SMD封装，拥有坚固的外壳和微小的尺寸，可轻松集成至高难度的设计中。AHT30配有一个全新优化的ASIC专用芯片、一个经过改进的MEMS半导体电容式湿度传感元件和一个标准的片上温度传感元件，其性能已获得显著的提升，即使在恶劣的环境下也能保持稳定性能。</t>
  </si>
  <si>
    <t>16</t>
  </si>
  <si>
    <t>SPL06-001</t>
  </si>
  <si>
    <t>U3</t>
  </si>
  <si>
    <t>SENSOR-SMD_SPL06-001</t>
  </si>
  <si>
    <t>5.6</t>
  </si>
  <si>
    <t>压力范围:30Kpa~1.1bar;接口类型:I2C；SPI;</t>
  </si>
  <si>
    <t>17</t>
  </si>
  <si>
    <t>W25Q64JVZPIQ</t>
  </si>
  <si>
    <t>U4</t>
  </si>
  <si>
    <t>WSON-8_L6.0-W5.0-P1.27-BL-EP</t>
  </si>
  <si>
    <t>14.3</t>
  </si>
  <si>
    <t>接口类型:SPI;存储容量:64Mbit;时钟频率(fc):133MHz;</t>
  </si>
  <si>
    <t>18</t>
  </si>
  <si>
    <t>RED-LED_0603</t>
  </si>
  <si>
    <t>U5</t>
  </si>
  <si>
    <t>LED0603-R-RD_RED</t>
  </si>
  <si>
    <t>19</t>
  </si>
  <si>
    <t>32MHz</t>
  </si>
  <si>
    <t>X1</t>
  </si>
  <si>
    <t>CRYSTAL-SMD_4P-L3.2-W2.5-BL</t>
  </si>
  <si>
    <t>0.4624</t>
  </si>
  <si>
    <t>晶振类型:贴片晶振;频率:32MHz;常温频差:±10ppm;负载电容:12pF;频率稳定度:±20ppm;</t>
  </si>
  <si>
    <t>20</t>
  </si>
  <si>
    <t>32.768kHz</t>
  </si>
  <si>
    <t>X2</t>
  </si>
  <si>
    <t>CRYSTAL-SMD_L3.2-W1.5-1</t>
  </si>
  <si>
    <t>1.0408</t>
  </si>
  <si>
    <t>晶振类型:贴片晶振;频率:32.768kHz;常温频差:±20ppm;负载电容:12.5pF;频率稳定度:±30ppm;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</si>
</sst>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J27" sqref="J27"/>
    </sheetView>
  </sheetViews>
  <sheetFormatPr defaultColWidth="9" defaultRowHeight="14"/>
  <cols>
    <col min="1" max="3" width="20" customWidth="1"/>
    <col min="4" max="4" width="29.6363636363636" customWidth="1"/>
    <col min="5" max="8" width="20" customWidth="1"/>
    <col min="10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9</v>
      </c>
      <c r="G2" t="s">
        <v>14</v>
      </c>
      <c r="H2">
        <v>0.08</v>
      </c>
      <c r="I2">
        <f>F2*H2</f>
        <v>0.08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17</v>
      </c>
      <c r="F3" t="s">
        <v>9</v>
      </c>
      <c r="G3" t="s">
        <v>20</v>
      </c>
      <c r="H3">
        <v>0.0726</v>
      </c>
      <c r="I3">
        <f t="shared" ref="I3:I21" si="0">F3*H3</f>
        <v>0.0726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23</v>
      </c>
      <c r="F4" t="s">
        <v>16</v>
      </c>
      <c r="G4" t="s">
        <v>26</v>
      </c>
      <c r="H4">
        <v>0.02</v>
      </c>
      <c r="I4">
        <f t="shared" si="0"/>
        <v>0.04</v>
      </c>
      <c r="J4" t="s">
        <v>27</v>
      </c>
    </row>
    <row r="5" spans="1:10">
      <c r="A5" t="s">
        <v>28</v>
      </c>
      <c r="B5" t="s">
        <v>29</v>
      </c>
      <c r="C5" t="s">
        <v>30</v>
      </c>
      <c r="D5" t="s">
        <v>25</v>
      </c>
      <c r="E5" t="s">
        <v>29</v>
      </c>
      <c r="F5" t="s">
        <v>16</v>
      </c>
      <c r="G5" t="s">
        <v>31</v>
      </c>
      <c r="H5">
        <v>0.02</v>
      </c>
      <c r="I5">
        <f t="shared" si="0"/>
        <v>0.04</v>
      </c>
      <c r="J5" t="s">
        <v>32</v>
      </c>
    </row>
    <row r="6" spans="1:10">
      <c r="A6" t="s">
        <v>33</v>
      </c>
      <c r="B6" t="s">
        <v>34</v>
      </c>
      <c r="C6" t="s">
        <v>35</v>
      </c>
      <c r="D6" t="s">
        <v>25</v>
      </c>
      <c r="E6" t="s">
        <v>34</v>
      </c>
      <c r="F6" t="s">
        <v>36</v>
      </c>
      <c r="G6" t="s">
        <v>37</v>
      </c>
      <c r="H6">
        <v>0.0145</v>
      </c>
      <c r="I6">
        <f t="shared" si="0"/>
        <v>0.1305</v>
      </c>
      <c r="J6" t="s">
        <v>38</v>
      </c>
    </row>
    <row r="7" spans="1:10">
      <c r="A7" t="s">
        <v>39</v>
      </c>
      <c r="B7" t="s">
        <v>40</v>
      </c>
      <c r="C7" t="s">
        <v>41</v>
      </c>
      <c r="D7" t="s">
        <v>19</v>
      </c>
      <c r="E7" t="s">
        <v>40</v>
      </c>
      <c r="F7" t="s">
        <v>9</v>
      </c>
      <c r="G7" t="s">
        <v>42</v>
      </c>
      <c r="H7">
        <v>0.0678</v>
      </c>
      <c r="I7">
        <f t="shared" si="0"/>
        <v>0.0678</v>
      </c>
      <c r="J7" t="s">
        <v>43</v>
      </c>
    </row>
    <row r="8" spans="1:10">
      <c r="A8" t="s">
        <v>44</v>
      </c>
      <c r="B8" t="s">
        <v>45</v>
      </c>
      <c r="C8" t="s">
        <v>46</v>
      </c>
      <c r="D8" t="s">
        <v>47</v>
      </c>
      <c r="E8" t="s">
        <v>13</v>
      </c>
      <c r="F8" t="s">
        <v>9</v>
      </c>
      <c r="G8" t="s">
        <v>48</v>
      </c>
      <c r="H8">
        <v>0</v>
      </c>
      <c r="I8">
        <f t="shared" si="0"/>
        <v>0</v>
      </c>
      <c r="J8" t="s">
        <v>49</v>
      </c>
    </row>
    <row r="9" spans="1:10">
      <c r="A9" t="s">
        <v>50</v>
      </c>
      <c r="B9" t="s">
        <v>51</v>
      </c>
      <c r="C9" t="s">
        <v>52</v>
      </c>
      <c r="D9" t="s">
        <v>53</v>
      </c>
      <c r="E9" t="s">
        <v>51</v>
      </c>
      <c r="F9" t="s">
        <v>9</v>
      </c>
      <c r="G9" t="s">
        <v>54</v>
      </c>
      <c r="H9">
        <v>0.06</v>
      </c>
      <c r="I9">
        <f t="shared" si="0"/>
        <v>0.06</v>
      </c>
      <c r="J9" t="s">
        <v>55</v>
      </c>
    </row>
    <row r="10" spans="1:10">
      <c r="A10" t="s">
        <v>36</v>
      </c>
      <c r="B10" t="s">
        <v>56</v>
      </c>
      <c r="C10" t="s">
        <v>57</v>
      </c>
      <c r="D10" t="s">
        <v>58</v>
      </c>
      <c r="E10" t="s">
        <v>56</v>
      </c>
      <c r="F10" t="s">
        <v>9</v>
      </c>
      <c r="G10" t="s">
        <v>59</v>
      </c>
      <c r="H10">
        <v>0.03</v>
      </c>
      <c r="I10">
        <f t="shared" si="0"/>
        <v>0.03</v>
      </c>
      <c r="J10" t="s">
        <v>60</v>
      </c>
    </row>
    <row r="11" spans="1:10">
      <c r="A11" t="s">
        <v>61</v>
      </c>
      <c r="B11" t="s">
        <v>62</v>
      </c>
      <c r="C11" t="s">
        <v>63</v>
      </c>
      <c r="D11" t="s">
        <v>64</v>
      </c>
      <c r="E11" t="s">
        <v>13</v>
      </c>
      <c r="F11" t="s">
        <v>9</v>
      </c>
      <c r="G11" t="s">
        <v>65</v>
      </c>
      <c r="H11">
        <v>0.1</v>
      </c>
      <c r="I11">
        <f t="shared" si="0"/>
        <v>0.1</v>
      </c>
      <c r="J11" t="s">
        <v>66</v>
      </c>
    </row>
    <row r="12" spans="1:10">
      <c r="A12" t="s">
        <v>67</v>
      </c>
      <c r="B12" t="s">
        <v>68</v>
      </c>
      <c r="C12" t="s">
        <v>69</v>
      </c>
      <c r="D12" t="s">
        <v>58</v>
      </c>
      <c r="E12" t="s">
        <v>68</v>
      </c>
      <c r="F12" t="s">
        <v>9</v>
      </c>
      <c r="G12" t="s">
        <v>70</v>
      </c>
      <c r="H12">
        <v>0.03</v>
      </c>
      <c r="I12">
        <f t="shared" si="0"/>
        <v>0.03</v>
      </c>
      <c r="J12" t="s">
        <v>71</v>
      </c>
    </row>
    <row r="13" spans="1:10">
      <c r="A13" t="s">
        <v>72</v>
      </c>
      <c r="B13" t="s">
        <v>73</v>
      </c>
      <c r="C13" t="s">
        <v>74</v>
      </c>
      <c r="D13" t="s">
        <v>75</v>
      </c>
      <c r="E13" t="s">
        <v>73</v>
      </c>
      <c r="F13" t="s">
        <v>16</v>
      </c>
      <c r="G13" t="s">
        <v>76</v>
      </c>
      <c r="H13">
        <v>0.02</v>
      </c>
      <c r="I13">
        <f t="shared" si="0"/>
        <v>0.04</v>
      </c>
      <c r="J13" t="s">
        <v>77</v>
      </c>
    </row>
    <row r="14" spans="1:10">
      <c r="A14" t="s">
        <v>78</v>
      </c>
      <c r="B14" t="s">
        <v>79</v>
      </c>
      <c r="C14" t="s">
        <v>80</v>
      </c>
      <c r="D14" t="s">
        <v>75</v>
      </c>
      <c r="E14" t="s">
        <v>79</v>
      </c>
      <c r="F14" t="s">
        <v>9</v>
      </c>
      <c r="G14" t="s">
        <v>81</v>
      </c>
      <c r="H14">
        <v>0.02</v>
      </c>
      <c r="I14">
        <f t="shared" si="0"/>
        <v>0.02</v>
      </c>
      <c r="J14" t="s">
        <v>82</v>
      </c>
    </row>
    <row r="15" spans="1:10">
      <c r="A15" t="s">
        <v>83</v>
      </c>
      <c r="B15" t="s">
        <v>84</v>
      </c>
      <c r="C15" t="s">
        <v>85</v>
      </c>
      <c r="D15" t="s">
        <v>86</v>
      </c>
      <c r="E15" t="s">
        <v>13</v>
      </c>
      <c r="F15" t="s">
        <v>9</v>
      </c>
      <c r="G15" t="s">
        <v>87</v>
      </c>
      <c r="H15">
        <v>2.2</v>
      </c>
      <c r="I15">
        <f t="shared" si="0"/>
        <v>2.2</v>
      </c>
      <c r="J15" t="s">
        <v>88</v>
      </c>
    </row>
    <row r="16" spans="1:10">
      <c r="A16" t="s">
        <v>89</v>
      </c>
      <c r="B16" t="s">
        <v>90</v>
      </c>
      <c r="C16" t="s">
        <v>91</v>
      </c>
      <c r="D16" t="s">
        <v>92</v>
      </c>
      <c r="E16" t="s">
        <v>13</v>
      </c>
      <c r="F16" t="s">
        <v>9</v>
      </c>
      <c r="G16" t="s">
        <v>93</v>
      </c>
      <c r="H16">
        <v>1.2</v>
      </c>
      <c r="I16">
        <f t="shared" si="0"/>
        <v>1.2</v>
      </c>
      <c r="J16" t="s">
        <v>94</v>
      </c>
    </row>
    <row r="17" spans="1:10">
      <c r="A17" t="s">
        <v>95</v>
      </c>
      <c r="B17" t="s">
        <v>96</v>
      </c>
      <c r="C17" t="s">
        <v>97</v>
      </c>
      <c r="D17" t="s">
        <v>98</v>
      </c>
      <c r="E17" t="s">
        <v>13</v>
      </c>
      <c r="F17" t="s">
        <v>9</v>
      </c>
      <c r="G17" t="s">
        <v>99</v>
      </c>
      <c r="H17">
        <v>2.63</v>
      </c>
      <c r="I17">
        <f t="shared" si="0"/>
        <v>2.63</v>
      </c>
      <c r="J17" t="s">
        <v>100</v>
      </c>
    </row>
    <row r="18" spans="1:10">
      <c r="A18" t="s">
        <v>101</v>
      </c>
      <c r="B18" t="s">
        <v>102</v>
      </c>
      <c r="C18" t="s">
        <v>103</v>
      </c>
      <c r="D18" t="s">
        <v>104</v>
      </c>
      <c r="E18" t="s">
        <v>13</v>
      </c>
      <c r="F18" t="s">
        <v>9</v>
      </c>
      <c r="G18" t="s">
        <v>105</v>
      </c>
      <c r="H18">
        <v>1.43</v>
      </c>
      <c r="I18">
        <f t="shared" si="0"/>
        <v>1.43</v>
      </c>
      <c r="J18" t="s">
        <v>106</v>
      </c>
    </row>
    <row r="19" spans="1:10">
      <c r="A19" t="s">
        <v>107</v>
      </c>
      <c r="B19" t="s">
        <v>108</v>
      </c>
      <c r="C19" t="s">
        <v>109</v>
      </c>
      <c r="D19" t="s">
        <v>110</v>
      </c>
      <c r="E19" t="s">
        <v>13</v>
      </c>
      <c r="F19" t="s">
        <v>9</v>
      </c>
      <c r="G19" t="s">
        <v>13</v>
      </c>
      <c r="H19">
        <v>0.02</v>
      </c>
      <c r="I19">
        <f t="shared" si="0"/>
        <v>0.02</v>
      </c>
      <c r="J19" t="s">
        <v>13</v>
      </c>
    </row>
    <row r="20" spans="1:10">
      <c r="A20" t="s">
        <v>111</v>
      </c>
      <c r="B20" t="s">
        <v>112</v>
      </c>
      <c r="C20" t="s">
        <v>113</v>
      </c>
      <c r="D20" t="s">
        <v>114</v>
      </c>
      <c r="E20" t="s">
        <v>112</v>
      </c>
      <c r="F20" t="s">
        <v>9</v>
      </c>
      <c r="G20" t="s">
        <v>115</v>
      </c>
      <c r="H20">
        <v>0.3</v>
      </c>
      <c r="I20">
        <f t="shared" si="0"/>
        <v>0.3</v>
      </c>
      <c r="J20" t="s">
        <v>116</v>
      </c>
    </row>
    <row r="21" spans="1:10">
      <c r="A21" t="s">
        <v>117</v>
      </c>
      <c r="B21" t="s">
        <v>118</v>
      </c>
      <c r="C21" t="s">
        <v>119</v>
      </c>
      <c r="D21" t="s">
        <v>120</v>
      </c>
      <c r="E21" t="s">
        <v>118</v>
      </c>
      <c r="F21" t="s">
        <v>9</v>
      </c>
      <c r="G21" t="s">
        <v>121</v>
      </c>
      <c r="H21">
        <v>0.3</v>
      </c>
      <c r="I21">
        <f t="shared" si="0"/>
        <v>0.3</v>
      </c>
      <c r="J21" t="s">
        <v>122</v>
      </c>
    </row>
    <row r="22" spans="1:10">
      <c r="A22" t="s">
        <v>13</v>
      </c>
      <c r="I22">
        <f>SUM(I2:I21)</f>
        <v>8.7909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BOM_Board1_Schematic1_2026-02-2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写代码的熊猫</cp:lastModifiedBy>
  <dcterms:created xsi:type="dcterms:W3CDTF">2026-02-23T16:21:00Z</dcterms:created>
  <dcterms:modified xsi:type="dcterms:W3CDTF">2026-02-23T16:29:16Z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D8150F92FE03453AABEE20E52369B56C_12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